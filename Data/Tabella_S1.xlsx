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esktop\Analisi Dati LOTKA Volterra\Dati\Misure_comunita_microbiche\"/>
    </mc:Choice>
  </mc:AlternateContent>
  <xr:revisionPtr revIDLastSave="0" documentId="13_ncr:1_{5B2B9C97-BFCD-4434-863F-9FB6023839B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" l="1"/>
  <c r="D16" i="1"/>
  <c r="C16" i="1"/>
  <c r="D15" i="1"/>
  <c r="C15" i="1"/>
  <c r="D14" i="1"/>
  <c r="C14" i="1"/>
  <c r="D13" i="1"/>
  <c r="C13" i="1"/>
  <c r="D12" i="1"/>
  <c r="C12" i="1"/>
  <c r="D11" i="1"/>
  <c r="C11" i="1"/>
  <c r="D10" i="1"/>
  <c r="C10" i="1"/>
  <c r="D9" i="1"/>
  <c r="C9" i="1"/>
  <c r="D8" i="1"/>
  <c r="D7" i="1"/>
  <c r="C7" i="1"/>
  <c r="D6" i="1"/>
  <c r="C6" i="1"/>
  <c r="D5" i="1"/>
  <c r="C5" i="1"/>
  <c r="D4" i="1"/>
  <c r="C4" i="1"/>
  <c r="D3" i="1"/>
  <c r="C3" i="1"/>
</calcChain>
</file>

<file path=xl/sharedStrings.xml><?xml version="1.0" encoding="utf-8"?>
<sst xmlns="http://schemas.openxmlformats.org/spreadsheetml/2006/main" count="33" uniqueCount="14">
  <si>
    <t>Species</t>
  </si>
  <si>
    <t>Time</t>
  </si>
  <si>
    <t>Mean bacterial counts (cells mL−1)</t>
  </si>
  <si>
    <t>SE</t>
  </si>
  <si>
    <t>LP</t>
  </si>
  <si>
    <t>0 h</t>
  </si>
  <si>
    <t>48 h</t>
  </si>
  <si>
    <t>LA</t>
  </si>
  <si>
    <t>BL</t>
  </si>
  <si>
    <t>BC</t>
  </si>
  <si>
    <t>CO</t>
  </si>
  <si>
    <t>CS</t>
  </si>
  <si>
    <t>EC</t>
  </si>
  <si>
    <t>Table 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</si>
</sst>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Georgia"/>
      <family val="1"/>
    </font>
    <font>
      <sz val="10"/>
      <color theme="1"/>
      <name val="Georgia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1" fontId="3" fillId="0" borderId="1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1" fontId="3" fillId="0" borderId="2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1" fontId="3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1" fontId="3" fillId="0" borderId="0" xfId="0" applyNumberFormat="1" applyFont="1" applyAlignment="1">
      <alignment horizontal="center" vertical="center" wrapText="1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selection activeCell="C9" sqref="C9"/>
    </sheetView>
  </sheetViews>
  <sheetFormatPr defaultRowHeight="15" x14ac:dyDescent="0.25"/>
  <cols>
    <col min="3" max="3" width="18.5703125" customWidth="1"/>
    <col min="4" max="4" width="17.42578125" customWidth="1"/>
  </cols>
  <sheetData>
    <row r="1" spans="1:4" ht="15.75" thickBot="1" x14ac:dyDescent="0.3">
      <c r="A1" s="10" t="s">
        <v>13</v>
      </c>
    </row>
    <row r="2" spans="1:4" ht="39" thickBot="1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ht="15.75" thickBot="1" x14ac:dyDescent="0.3">
      <c r="A3" s="2" t="s">
        <v>4</v>
      </c>
      <c r="B3" s="2" t="s">
        <v>5</v>
      </c>
      <c r="C3" s="3">
        <f>1.33*10^6</f>
        <v>1330000</v>
      </c>
      <c r="D3" s="3">
        <f>6.35 * 10^4</f>
        <v>63500</v>
      </c>
    </row>
    <row r="4" spans="1:4" ht="15.75" thickBot="1" x14ac:dyDescent="0.3">
      <c r="A4" s="2" t="s">
        <v>4</v>
      </c>
      <c r="B4" s="4" t="s">
        <v>6</v>
      </c>
      <c r="C4" s="5">
        <f>2.95*10^8</f>
        <v>295000000</v>
      </c>
      <c r="D4" s="5">
        <f>8.89 * 10^7</f>
        <v>88900000</v>
      </c>
    </row>
    <row r="5" spans="1:4" ht="15.75" thickBot="1" x14ac:dyDescent="0.3">
      <c r="A5" s="6" t="s">
        <v>7</v>
      </c>
      <c r="B5" s="6" t="s">
        <v>5</v>
      </c>
      <c r="C5" s="7">
        <f>4.72 * 10^6</f>
        <v>4720000</v>
      </c>
      <c r="D5" s="7">
        <f>3.32 * 10^5</f>
        <v>332000</v>
      </c>
    </row>
    <row r="6" spans="1:4" ht="15.75" thickBot="1" x14ac:dyDescent="0.3">
      <c r="A6" s="6" t="s">
        <v>7</v>
      </c>
      <c r="B6" s="4" t="s">
        <v>6</v>
      </c>
      <c r="C6" s="5">
        <f>2.4 * 10^9</f>
        <v>2400000000</v>
      </c>
      <c r="D6" s="5">
        <f>1.22 * 10^9</f>
        <v>1220000000</v>
      </c>
    </row>
    <row r="7" spans="1:4" ht="15.75" thickBot="1" x14ac:dyDescent="0.3">
      <c r="A7" s="6" t="s">
        <v>8</v>
      </c>
      <c r="B7" s="6" t="s">
        <v>5</v>
      </c>
      <c r="C7" s="7">
        <f>1.36 * 10^6</f>
        <v>1360000</v>
      </c>
      <c r="D7" s="7">
        <f>2.4 * 10^5</f>
        <v>240000</v>
      </c>
    </row>
    <row r="8" spans="1:4" ht="15.75" thickBot="1" x14ac:dyDescent="0.3">
      <c r="A8" s="6" t="s">
        <v>8</v>
      </c>
      <c r="B8" s="4" t="s">
        <v>6</v>
      </c>
      <c r="C8" s="5">
        <f>4.5 * 10^8</f>
        <v>450000000</v>
      </c>
      <c r="D8" s="5">
        <f>7.26 * 10^7</f>
        <v>72600000</v>
      </c>
    </row>
    <row r="9" spans="1:4" ht="15.75" thickBot="1" x14ac:dyDescent="0.3">
      <c r="A9" s="6" t="s">
        <v>9</v>
      </c>
      <c r="B9" s="6" t="s">
        <v>5</v>
      </c>
      <c r="C9" s="7">
        <f>8.08 * 10^6</f>
        <v>8080000</v>
      </c>
      <c r="D9" s="7">
        <f>1.12 * 10^6</f>
        <v>1120000</v>
      </c>
    </row>
    <row r="10" spans="1:4" ht="15.75" thickBot="1" x14ac:dyDescent="0.3">
      <c r="A10" s="6" t="s">
        <v>9</v>
      </c>
      <c r="B10" s="4" t="s">
        <v>6</v>
      </c>
      <c r="C10" s="5">
        <f>8.56 * 10^7</f>
        <v>85600000</v>
      </c>
      <c r="D10" s="5">
        <f>5.67 * 10^7</f>
        <v>56700000</v>
      </c>
    </row>
    <row r="11" spans="1:4" ht="15.75" thickBot="1" x14ac:dyDescent="0.3">
      <c r="A11" s="6" t="s">
        <v>10</v>
      </c>
      <c r="B11" s="6" t="s">
        <v>5</v>
      </c>
      <c r="C11" s="7">
        <f>4.49 * 10^6</f>
        <v>4490000</v>
      </c>
      <c r="D11" s="7">
        <f>9.26 * 10^4</f>
        <v>92600</v>
      </c>
    </row>
    <row r="12" spans="1:4" ht="15.75" thickBot="1" x14ac:dyDescent="0.3">
      <c r="A12" s="6" t="s">
        <v>10</v>
      </c>
      <c r="B12" s="4" t="s">
        <v>6</v>
      </c>
      <c r="C12" s="5">
        <f>7.4 * 10^7</f>
        <v>74000000</v>
      </c>
      <c r="D12" s="5">
        <f>9.75 * 10^6</f>
        <v>9750000</v>
      </c>
    </row>
    <row r="13" spans="1:4" ht="15.75" thickBot="1" x14ac:dyDescent="0.3">
      <c r="A13" s="6" t="s">
        <v>11</v>
      </c>
      <c r="B13" s="6" t="s">
        <v>5</v>
      </c>
      <c r="C13" s="7">
        <f>7.48 * 10^6</f>
        <v>7480000</v>
      </c>
      <c r="D13" s="7">
        <f>9.26 * 10^4</f>
        <v>92600</v>
      </c>
    </row>
    <row r="14" spans="1:4" ht="15.75" thickBot="1" x14ac:dyDescent="0.3">
      <c r="A14" s="6" t="s">
        <v>11</v>
      </c>
      <c r="B14" s="4" t="s">
        <v>6</v>
      </c>
      <c r="C14" s="5">
        <f>8.5 * 10^7</f>
        <v>85000000</v>
      </c>
      <c r="D14" s="5">
        <f>7.46 * 10^6</f>
        <v>7460000</v>
      </c>
    </row>
    <row r="15" spans="1:4" x14ac:dyDescent="0.25">
      <c r="A15" s="8" t="s">
        <v>12</v>
      </c>
      <c r="B15" s="8" t="s">
        <v>5</v>
      </c>
      <c r="C15" s="9">
        <f>2.32 * 10^7</f>
        <v>23200000</v>
      </c>
      <c r="D15" s="9">
        <f>2.47 * 10^5</f>
        <v>247000.00000000003</v>
      </c>
    </row>
    <row r="16" spans="1:4" ht="15.75" thickBot="1" x14ac:dyDescent="0.3">
      <c r="A16" s="8" t="s">
        <v>12</v>
      </c>
      <c r="B16" s="4" t="s">
        <v>6</v>
      </c>
      <c r="C16" s="5">
        <f>4.81 * 10^8</f>
        <v>480999999.99999994</v>
      </c>
      <c r="D16" s="5">
        <f>2.36 * 10^8</f>
        <v>236000000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margherita finazzi</dc:creator>
  <cp:lastModifiedBy>m.turati14@campus.unimib.it</cp:lastModifiedBy>
  <dcterms:created xsi:type="dcterms:W3CDTF">2015-06-05T18:17:20Z</dcterms:created>
  <dcterms:modified xsi:type="dcterms:W3CDTF">2026-09-19T17:20:55Z</dcterms:modified>
</cp:coreProperties>
</file>