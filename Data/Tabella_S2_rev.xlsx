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Analisi Dati LOTKA Volterra\Dati\Misure_comunita_microbiche\"/>
    </mc:Choice>
  </mc:AlternateContent>
  <xr:revisionPtr revIDLastSave="0" documentId="13_ncr:1_{4B2A8324-1EFC-4002-82AB-912CBC94AF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E35" i="1"/>
  <c r="E33" i="1"/>
  <c r="D33" i="1"/>
  <c r="E29" i="1"/>
  <c r="D29" i="1"/>
  <c r="E27" i="1"/>
  <c r="D27" i="1"/>
  <c r="E23" i="1"/>
  <c r="D23" i="1"/>
  <c r="E21" i="1"/>
  <c r="D21" i="1"/>
  <c r="E17" i="1"/>
  <c r="D17" i="1"/>
  <c r="E15" i="1"/>
  <c r="D15" i="1"/>
  <c r="E11" i="1"/>
  <c r="D11" i="1"/>
  <c r="E9" i="1"/>
  <c r="D9" i="1"/>
</calcChain>
</file>

<file path=xl/sharedStrings.xml><?xml version="1.0" encoding="utf-8"?>
<sst xmlns="http://schemas.openxmlformats.org/spreadsheetml/2006/main" count="114" uniqueCount="18">
  <si>
    <t>Table S2_rev</t>
  </si>
  <si>
    <t>Co-colture</t>
  </si>
  <si>
    <t>Species</t>
  </si>
  <si>
    <t>Time</t>
  </si>
  <si>
    <t>Mean bacterial counts (cells mL−1)</t>
  </si>
  <si>
    <t>SE</t>
  </si>
  <si>
    <t>LP vs BL</t>
  </si>
  <si>
    <t>LP</t>
  </si>
  <si>
    <t>0 h</t>
  </si>
  <si>
    <t>8 h</t>
  </si>
  <si>
    <t>16 h</t>
  </si>
  <si>
    <t>24 h</t>
  </si>
  <si>
    <t>32 h</t>
  </si>
  <si>
    <t>48 h</t>
  </si>
  <si>
    <t>BL</t>
  </si>
  <si>
    <t>LP vs LA</t>
  </si>
  <si>
    <t>LA</t>
  </si>
  <si>
    <t>LA vs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</si>
</sst>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Georgia"/>
      <family val="1"/>
    </font>
    <font>
      <sz val="10"/>
      <color theme="1"/>
      <name val="Georgia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11" fontId="0" fillId="0" borderId="2" xfId="0" applyNumberFormat="1" applyBorder="1"/>
    <xf numFmtId="0" fontId="3" fillId="0" borderId="0" xfId="0" applyFont="1" applyAlignment="1">
      <alignment vertical="center"/>
    </xf>
    <xf numFmtId="11" fontId="0" fillId="0" borderId="0" xfId="0" applyNumberFormat="1"/>
    <xf numFmtId="0" fontId="3" fillId="0" borderId="3" xfId="0" applyFont="1" applyBorder="1" applyAlignment="1">
      <alignment vertical="center"/>
    </xf>
    <xf numFmtId="11" fontId="0" fillId="0" borderId="3" xfId="0" applyNumberFormat="1" applyBorder="1"/>
    <xf numFmtId="11" fontId="4" fillId="0" borderId="0" xfId="0" applyNumberFormat="1" applyFont="1"/>
    <xf numFmtId="0" fontId="3" fillId="0" borderId="4" xfId="0" applyFont="1" applyBorder="1" applyAlignment="1">
      <alignment vertical="center"/>
    </xf>
    <xf numFmtId="11" fontId="0" fillId="0" borderId="4" xfId="0" applyNumberFormat="1" applyBorder="1"/>
    <xf numFmtId="0" fontId="3" fillId="0" borderId="0" xfId="0" applyFont="1" applyAlignment="1">
      <alignment vertical="center" wrapText="1"/>
    </xf>
    <xf numFmtId="11" fontId="4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D38" sqref="D38"/>
    </sheetView>
  </sheetViews>
  <sheetFormatPr defaultRowHeight="15" x14ac:dyDescent="0.25"/>
  <cols>
    <col min="1" max="1" width="14.140625" customWidth="1"/>
    <col min="4" max="4" width="19.7109375" customWidth="1"/>
  </cols>
  <sheetData>
    <row r="1" spans="1:5" ht="15.75" thickBot="1" x14ac:dyDescent="0.3">
      <c r="A1" s="1" t="s">
        <v>0</v>
      </c>
    </row>
    <row r="2" spans="1:5" ht="27" thickTop="1" thickBot="1" x14ac:dyDescent="0.3">
      <c r="A2" s="2" t="s">
        <v>1</v>
      </c>
      <c r="B2" s="3" t="s">
        <v>2</v>
      </c>
      <c r="C2" s="3" t="s">
        <v>3</v>
      </c>
      <c r="D2" s="2" t="s">
        <v>4</v>
      </c>
      <c r="E2" s="3" t="s">
        <v>5</v>
      </c>
    </row>
    <row r="3" spans="1:5" ht="15.75" thickBot="1" x14ac:dyDescent="0.3">
      <c r="A3" s="4" t="s">
        <v>6</v>
      </c>
      <c r="B3" s="5" t="s">
        <v>7</v>
      </c>
      <c r="C3" s="5" t="s">
        <v>8</v>
      </c>
      <c r="D3" s="6">
        <v>1330000.0000000012</v>
      </c>
      <c r="E3" s="6">
        <v>44901.280605345804</v>
      </c>
    </row>
    <row r="4" spans="1:5" ht="15.75" thickBot="1" x14ac:dyDescent="0.3">
      <c r="A4" s="4" t="s">
        <v>6</v>
      </c>
      <c r="B4" s="5" t="s">
        <v>7</v>
      </c>
      <c r="C4" s="7" t="s">
        <v>9</v>
      </c>
      <c r="D4" s="8">
        <v>12147147.381380158</v>
      </c>
      <c r="E4" s="8">
        <v>2378108.711955341</v>
      </c>
    </row>
    <row r="5" spans="1:5" ht="15.75" thickBot="1" x14ac:dyDescent="0.3">
      <c r="A5" s="4" t="s">
        <v>6</v>
      </c>
      <c r="B5" s="5" t="s">
        <v>7</v>
      </c>
      <c r="C5" s="7" t="s">
        <v>10</v>
      </c>
      <c r="D5" s="8">
        <v>52189175.680314779</v>
      </c>
      <c r="E5" s="8">
        <v>4392560.6721817534</v>
      </c>
    </row>
    <row r="6" spans="1:5" ht="15.75" thickBot="1" x14ac:dyDescent="0.3">
      <c r="A6" s="4" t="s">
        <v>6</v>
      </c>
      <c r="B6" s="5" t="s">
        <v>7</v>
      </c>
      <c r="C6" s="7" t="s">
        <v>11</v>
      </c>
      <c r="D6" s="8">
        <v>82825271.976320624</v>
      </c>
      <c r="E6" s="8">
        <v>5640118.7438182868</v>
      </c>
    </row>
    <row r="7" spans="1:5" ht="15.75" thickBot="1" x14ac:dyDescent="0.3">
      <c r="A7" s="4" t="s">
        <v>6</v>
      </c>
      <c r="B7" s="5" t="s">
        <v>7</v>
      </c>
      <c r="C7" s="7" t="s">
        <v>12</v>
      </c>
      <c r="D7" s="8">
        <v>75385147.153930709</v>
      </c>
      <c r="E7" s="8">
        <v>9225392.2284970973</v>
      </c>
    </row>
    <row r="8" spans="1:5" ht="15.75" thickBot="1" x14ac:dyDescent="0.3">
      <c r="A8" s="4" t="s">
        <v>6</v>
      </c>
      <c r="B8" s="5" t="s">
        <v>7</v>
      </c>
      <c r="C8" s="9" t="s">
        <v>13</v>
      </c>
      <c r="D8" s="10">
        <v>381857975.94015163</v>
      </c>
      <c r="E8" s="10">
        <v>114808246.4766573</v>
      </c>
    </row>
    <row r="9" spans="1:5" ht="15.75" thickBot="1" x14ac:dyDescent="0.3">
      <c r="A9" s="4" t="s">
        <v>6</v>
      </c>
      <c r="B9" s="7" t="s">
        <v>14</v>
      </c>
      <c r="C9" s="7" t="s">
        <v>8</v>
      </c>
      <c r="D9" s="8">
        <f>1.36*10^6</f>
        <v>1360000</v>
      </c>
      <c r="E9" s="11">
        <f>3.4*10^5</f>
        <v>340000</v>
      </c>
    </row>
    <row r="10" spans="1:5" ht="15.75" thickBot="1" x14ac:dyDescent="0.3">
      <c r="A10" s="4" t="s">
        <v>6</v>
      </c>
      <c r="B10" s="7" t="s">
        <v>14</v>
      </c>
      <c r="C10" s="7" t="s">
        <v>9</v>
      </c>
      <c r="D10" s="8">
        <v>1031626.08927839</v>
      </c>
      <c r="E10" s="8">
        <v>92192.470846104101</v>
      </c>
    </row>
    <row r="11" spans="1:5" ht="15.75" thickBot="1" x14ac:dyDescent="0.3">
      <c r="A11" s="4" t="s">
        <v>6</v>
      </c>
      <c r="B11" s="7" t="s">
        <v>14</v>
      </c>
      <c r="C11" s="7" t="s">
        <v>10</v>
      </c>
      <c r="D11" s="8">
        <f>AVERAGE(D12,D10)</f>
        <v>4290575.536238675</v>
      </c>
      <c r="E11" s="8">
        <f>AVERAGE(E12,E10)</f>
        <v>2737219.3743239474</v>
      </c>
    </row>
    <row r="12" spans="1:5" ht="15.75" thickBot="1" x14ac:dyDescent="0.3">
      <c r="A12" s="4" t="s">
        <v>6</v>
      </c>
      <c r="B12" s="7" t="s">
        <v>14</v>
      </c>
      <c r="C12" s="7" t="s">
        <v>11</v>
      </c>
      <c r="D12" s="8">
        <v>7549524.9831989603</v>
      </c>
      <c r="E12" s="8">
        <v>5382246.2778017903</v>
      </c>
    </row>
    <row r="13" spans="1:5" ht="15.75" thickBot="1" x14ac:dyDescent="0.3">
      <c r="A13" s="4" t="s">
        <v>6</v>
      </c>
      <c r="B13" s="7" t="s">
        <v>14</v>
      </c>
      <c r="C13" s="7" t="s">
        <v>12</v>
      </c>
      <c r="D13" s="8">
        <v>12685916.564804401</v>
      </c>
      <c r="E13" s="8">
        <v>2742139.0145376264</v>
      </c>
    </row>
    <row r="14" spans="1:5" ht="15.75" thickBot="1" x14ac:dyDescent="0.3">
      <c r="A14" s="4" t="s">
        <v>6</v>
      </c>
      <c r="B14" s="7" t="s">
        <v>14</v>
      </c>
      <c r="C14" s="12" t="s">
        <v>13</v>
      </c>
      <c r="D14" s="13">
        <v>54700000</v>
      </c>
      <c r="E14" s="13">
        <v>4892055.39984567</v>
      </c>
    </row>
    <row r="15" spans="1:5" x14ac:dyDescent="0.25">
      <c r="A15" s="14" t="s">
        <v>15</v>
      </c>
      <c r="B15" s="7" t="s">
        <v>7</v>
      </c>
      <c r="C15" s="5" t="s">
        <v>8</v>
      </c>
      <c r="D15" s="8">
        <f>1.33*10^6</f>
        <v>1330000</v>
      </c>
      <c r="E15" s="11">
        <f>8.98*10^4</f>
        <v>89800</v>
      </c>
    </row>
    <row r="16" spans="1:5" x14ac:dyDescent="0.25">
      <c r="A16" s="14" t="s">
        <v>15</v>
      </c>
      <c r="B16" s="7" t="s">
        <v>7</v>
      </c>
      <c r="C16" s="7" t="s">
        <v>9</v>
      </c>
      <c r="D16" s="8">
        <v>3799423.9805950536</v>
      </c>
      <c r="E16" s="8">
        <v>800098.13808642386</v>
      </c>
    </row>
    <row r="17" spans="1:5" x14ac:dyDescent="0.25">
      <c r="A17" s="14" t="s">
        <v>15</v>
      </c>
      <c r="B17" s="7" t="s">
        <v>7</v>
      </c>
      <c r="C17" s="7" t="s">
        <v>10</v>
      </c>
      <c r="D17" s="8">
        <f>AVERAGE(D18,D16)</f>
        <v>214116586.98623499</v>
      </c>
      <c r="E17" s="8">
        <f>AVERAGE(E18,E16)</f>
        <v>5346413.3407027507</v>
      </c>
    </row>
    <row r="18" spans="1:5" x14ac:dyDescent="0.25">
      <c r="A18" s="14" t="s">
        <v>15</v>
      </c>
      <c r="B18" s="7" t="s">
        <v>7</v>
      </c>
      <c r="C18" s="7" t="s">
        <v>11</v>
      </c>
      <c r="D18" s="8">
        <v>424433749.99187493</v>
      </c>
      <c r="E18" s="8">
        <v>9892728.5433190782</v>
      </c>
    </row>
    <row r="19" spans="1:5" x14ac:dyDescent="0.25">
      <c r="A19" s="14" t="s">
        <v>15</v>
      </c>
      <c r="B19" s="7" t="s">
        <v>7</v>
      </c>
      <c r="C19" s="7" t="s">
        <v>12</v>
      </c>
      <c r="D19" s="8">
        <v>315398882.37555087</v>
      </c>
      <c r="E19" s="8">
        <v>34493806.710736416</v>
      </c>
    </row>
    <row r="20" spans="1:5" x14ac:dyDescent="0.25">
      <c r="A20" s="14" t="s">
        <v>15</v>
      </c>
      <c r="B20" s="7" t="s">
        <v>7</v>
      </c>
      <c r="C20" s="9" t="s">
        <v>13</v>
      </c>
      <c r="D20" s="10">
        <v>273295947.78479099</v>
      </c>
      <c r="E20" s="10">
        <v>100326624.401958</v>
      </c>
    </row>
    <row r="21" spans="1:5" x14ac:dyDescent="0.25">
      <c r="A21" s="14" t="s">
        <v>15</v>
      </c>
      <c r="B21" s="7" t="s">
        <v>16</v>
      </c>
      <c r="C21" s="7" t="s">
        <v>8</v>
      </c>
      <c r="D21" s="11">
        <f>4.72*10^6</f>
        <v>4720000</v>
      </c>
      <c r="E21" s="11">
        <f>4.69*10^5</f>
        <v>469000.00000000006</v>
      </c>
    </row>
    <row r="22" spans="1:5" x14ac:dyDescent="0.25">
      <c r="A22" s="14" t="s">
        <v>15</v>
      </c>
      <c r="B22" s="7" t="s">
        <v>16</v>
      </c>
      <c r="C22" s="7" t="s">
        <v>9</v>
      </c>
      <c r="D22" s="8">
        <v>17923222.495388776</v>
      </c>
      <c r="E22" s="8">
        <v>1401002.6269428942</v>
      </c>
    </row>
    <row r="23" spans="1:5" x14ac:dyDescent="0.25">
      <c r="A23" s="14" t="s">
        <v>15</v>
      </c>
      <c r="B23" s="7" t="s">
        <v>16</v>
      </c>
      <c r="C23" s="7" t="s">
        <v>10</v>
      </c>
      <c r="D23" s="8">
        <f>AVERAGE(D24,D22)</f>
        <v>92269939.448493987</v>
      </c>
      <c r="E23" s="8">
        <f>AVERAGE(E24,E22)</f>
        <v>10511753.127955396</v>
      </c>
    </row>
    <row r="24" spans="1:5" x14ac:dyDescent="0.25">
      <c r="A24" s="14" t="s">
        <v>15</v>
      </c>
      <c r="B24" s="7" t="s">
        <v>16</v>
      </c>
      <c r="C24" s="7" t="s">
        <v>11</v>
      </c>
      <c r="D24" s="8">
        <v>166616656.4015992</v>
      </c>
      <c r="E24" s="8">
        <v>19622503.628967896</v>
      </c>
    </row>
    <row r="25" spans="1:5" x14ac:dyDescent="0.25">
      <c r="A25" s="14" t="s">
        <v>15</v>
      </c>
      <c r="B25" s="7" t="s">
        <v>16</v>
      </c>
      <c r="C25" s="7" t="s">
        <v>12</v>
      </c>
      <c r="D25" s="8">
        <v>115720445.21583624</v>
      </c>
      <c r="E25" s="8">
        <v>15041999.128030941</v>
      </c>
    </row>
    <row r="26" spans="1:5" ht="15.75" thickBot="1" x14ac:dyDescent="0.3">
      <c r="A26" s="14" t="s">
        <v>15</v>
      </c>
      <c r="B26" s="7" t="s">
        <v>16</v>
      </c>
      <c r="C26" s="12" t="s">
        <v>13</v>
      </c>
      <c r="D26" s="13">
        <v>227999999.99999997</v>
      </c>
      <c r="E26" s="13">
        <v>50930640.777434297</v>
      </c>
    </row>
    <row r="27" spans="1:5" x14ac:dyDescent="0.25">
      <c r="A27" s="14" t="s">
        <v>17</v>
      </c>
      <c r="B27" s="7" t="s">
        <v>16</v>
      </c>
      <c r="C27" s="5" t="s">
        <v>8</v>
      </c>
      <c r="D27" s="11">
        <f>4.72*10^6</f>
        <v>4720000</v>
      </c>
      <c r="E27" s="11">
        <f>4.69*10^5</f>
        <v>469000.00000000006</v>
      </c>
    </row>
    <row r="28" spans="1:5" x14ac:dyDescent="0.25">
      <c r="A28" s="14" t="s">
        <v>17</v>
      </c>
      <c r="B28" s="7" t="s">
        <v>16</v>
      </c>
      <c r="C28" s="7" t="s">
        <v>9</v>
      </c>
      <c r="D28" s="8">
        <v>1140005.548045554</v>
      </c>
      <c r="E28" s="8">
        <v>365873.25738651399</v>
      </c>
    </row>
    <row r="29" spans="1:5" x14ac:dyDescent="0.25">
      <c r="A29" s="14" t="s">
        <v>17</v>
      </c>
      <c r="B29" s="7" t="s">
        <v>16</v>
      </c>
      <c r="C29" s="7" t="s">
        <v>10</v>
      </c>
      <c r="D29" s="11">
        <f>AVERAGE(D30,D28)</f>
        <v>3134489.7656197394</v>
      </c>
      <c r="E29" s="11">
        <f>AVERAGE(E30,E28)</f>
        <v>208898.24579880736</v>
      </c>
    </row>
    <row r="30" spans="1:5" x14ac:dyDescent="0.25">
      <c r="A30" s="14" t="s">
        <v>17</v>
      </c>
      <c r="B30" s="7" t="s">
        <v>16</v>
      </c>
      <c r="C30" s="7" t="s">
        <v>11</v>
      </c>
      <c r="D30" s="8">
        <v>5128973.9831939247</v>
      </c>
      <c r="E30" s="8">
        <v>51923.23421110076</v>
      </c>
    </row>
    <row r="31" spans="1:5" x14ac:dyDescent="0.25">
      <c r="A31" s="14" t="s">
        <v>17</v>
      </c>
      <c r="B31" s="7" t="s">
        <v>16</v>
      </c>
      <c r="C31" s="7" t="s">
        <v>12</v>
      </c>
      <c r="D31" s="8">
        <v>12663072.545199154</v>
      </c>
      <c r="E31" s="11">
        <v>2296025.1928677675</v>
      </c>
    </row>
    <row r="32" spans="1:5" x14ac:dyDescent="0.25">
      <c r="A32" s="14" t="s">
        <v>17</v>
      </c>
      <c r="B32" s="7" t="s">
        <v>16</v>
      </c>
      <c r="C32" s="9" t="s">
        <v>13</v>
      </c>
      <c r="D32" s="10">
        <v>5798129.2896008464</v>
      </c>
      <c r="E32" s="15">
        <v>3549186.0782905249</v>
      </c>
    </row>
    <row r="33" spans="1:5" x14ac:dyDescent="0.25">
      <c r="A33" s="14" t="s">
        <v>17</v>
      </c>
      <c r="B33" s="7" t="s">
        <v>14</v>
      </c>
      <c r="C33" s="7" t="s">
        <v>8</v>
      </c>
      <c r="D33" s="8">
        <f>1.36*10^6</f>
        <v>1360000</v>
      </c>
      <c r="E33" s="11">
        <f>3.4*10^5</f>
        <v>340000</v>
      </c>
    </row>
    <row r="34" spans="1:5" x14ac:dyDescent="0.25">
      <c r="A34" s="14" t="s">
        <v>17</v>
      </c>
      <c r="B34" s="7" t="s">
        <v>14</v>
      </c>
      <c r="C34" s="7" t="s">
        <v>9</v>
      </c>
      <c r="D34" s="8">
        <v>2362986.852073506</v>
      </c>
      <c r="E34" s="8">
        <v>994859.03995743615</v>
      </c>
    </row>
    <row r="35" spans="1:5" x14ac:dyDescent="0.25">
      <c r="A35" s="14" t="s">
        <v>17</v>
      </c>
      <c r="B35" s="7" t="s">
        <v>14</v>
      </c>
      <c r="C35" s="7" t="s">
        <v>10</v>
      </c>
      <c r="D35" s="8">
        <f>AVERAGE(D36,D34)</f>
        <v>12584401.148274094</v>
      </c>
      <c r="E35" s="8">
        <f>AVERAGE(E36,E34)</f>
        <v>9677612.808251854</v>
      </c>
    </row>
    <row r="36" spans="1:5" x14ac:dyDescent="0.25">
      <c r="A36" s="14" t="s">
        <v>17</v>
      </c>
      <c r="B36" s="7" t="s">
        <v>14</v>
      </c>
      <c r="C36" s="7" t="s">
        <v>11</v>
      </c>
      <c r="D36" s="8">
        <v>22805815.444474682</v>
      </c>
      <c r="E36" s="8">
        <v>18360366.57654627</v>
      </c>
    </row>
    <row r="37" spans="1:5" x14ac:dyDescent="0.25">
      <c r="A37" s="14" t="s">
        <v>17</v>
      </c>
      <c r="B37" s="7" t="s">
        <v>14</v>
      </c>
      <c r="C37" s="7" t="s">
        <v>12</v>
      </c>
      <c r="D37" s="8">
        <v>36685916.564804398</v>
      </c>
      <c r="E37" s="8">
        <v>2742139.0145376301</v>
      </c>
    </row>
    <row r="38" spans="1:5" ht="15.75" thickBot="1" x14ac:dyDescent="0.3">
      <c r="A38" s="14" t="s">
        <v>17</v>
      </c>
      <c r="B38" s="7" t="s">
        <v>14</v>
      </c>
      <c r="C38" s="12" t="s">
        <v>13</v>
      </c>
      <c r="D38" s="13">
        <v>95906938.048185199</v>
      </c>
      <c r="E38" s="13">
        <v>75601475.477970868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margherita finazzi</dc:creator>
  <cp:lastModifiedBy>m.turati14@campus.unimib.it</cp:lastModifiedBy>
  <dcterms:created xsi:type="dcterms:W3CDTF">2015-06-05T18:17:20Z</dcterms:created>
  <dcterms:modified xsi:type="dcterms:W3CDTF">2026-09-08T09:53:08Z</dcterms:modified>
</cp:coreProperties>
</file>