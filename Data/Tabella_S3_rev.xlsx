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Analisi Dati LOTKA Volterra\Dati\Misure_comunita_microbiche\"/>
    </mc:Choice>
  </mc:AlternateContent>
  <xr:revisionPtr revIDLastSave="0" documentId="13_ncr:1_{6BC4B63A-84D6-42B8-A607-1CA21A718B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<sst xmlns="http://schemas.openxmlformats.org/spreadsheetml/2006/main" count="41" uniqueCount="14">
  <si>
    <t>Table S3_rev</t>
  </si>
  <si>
    <t>Species</t>
  </si>
  <si>
    <t>Time</t>
  </si>
  <si>
    <t>Mean bacterial counts (cells mL−1)</t>
  </si>
  <si>
    <t>SE</t>
  </si>
  <si>
    <t>LP</t>
  </si>
  <si>
    <t>0 h</t>
  </si>
  <si>
    <t>8 h</t>
  </si>
  <si>
    <t>16 h</t>
  </si>
  <si>
    <t>24 h</t>
  </si>
  <si>
    <t>32 h</t>
  </si>
  <si>
    <t>48 h</t>
  </si>
  <si>
    <t>LA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</si>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</sst>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0"/>
      <color theme="1"/>
      <name val="Georgia"/>
      <family val="1"/>
    </font>
    <font>
      <b/>
      <sz val="10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vertical="center"/>
    </xf>
    <xf numFmtId="11" fontId="4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11" fontId="3" fillId="0" borderId="2" xfId="0" applyNumberFormat="1" applyFont="1" applyBorder="1" applyAlignment="1">
      <alignment horizontal="center" vertical="center"/>
    </xf>
    <xf numFmtId="11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1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15" sqref="A15:A20"/>
    </sheetView>
  </sheetViews>
  <sheetFormatPr defaultRowHeight="15" x14ac:dyDescent="0.25"/>
  <cols>
    <col min="1" max="1" width="11.42578125" bestFit="1" customWidth="1"/>
    <col min="3" max="3" width="28.5703125" customWidth="1"/>
    <col min="4" max="4" width="29.5703125" customWidth="1"/>
  </cols>
  <sheetData>
    <row r="1" spans="1:4" ht="15.75" thickBot="1" x14ac:dyDescent="0.3">
      <c r="A1" s="1" t="s">
        <v>0</v>
      </c>
    </row>
    <row r="2" spans="1:4" ht="27" thickTop="1" thickBot="1" x14ac:dyDescent="0.3">
      <c r="A2" s="2" t="s">
        <v>1</v>
      </c>
      <c r="B2" s="3" t="s">
        <v>2</v>
      </c>
      <c r="C2" s="4" t="s">
        <v>3</v>
      </c>
      <c r="D2" s="3" t="s">
        <v>4</v>
      </c>
    </row>
    <row r="3" spans="1:4" x14ac:dyDescent="0.25">
      <c r="A3" s="5" t="s">
        <v>5</v>
      </c>
      <c r="B3" s="5" t="s">
        <v>6</v>
      </c>
      <c r="C3" s="6">
        <f>1.33*10^6</f>
        <v>1330000</v>
      </c>
      <c r="D3" s="7">
        <f>6.35*10^(4)</f>
        <v>63500</v>
      </c>
    </row>
    <row r="4" spans="1:4" x14ac:dyDescent="0.25">
      <c r="A4" s="5" t="s">
        <v>5</v>
      </c>
      <c r="B4" s="5" t="s">
        <v>7</v>
      </c>
      <c r="C4" s="8">
        <f>1.72*10^(6)</f>
        <v>1720000</v>
      </c>
      <c r="D4" s="8">
        <f>3.06*10^(5)</f>
        <v>306000</v>
      </c>
    </row>
    <row r="5" spans="1:4" x14ac:dyDescent="0.25">
      <c r="A5" s="5" t="s">
        <v>5</v>
      </c>
      <c r="B5" s="5" t="s">
        <v>8</v>
      </c>
      <c r="C5" s="6">
        <f>2.26*10^7</f>
        <v>22599999.999999996</v>
      </c>
      <c r="D5" s="9">
        <f>1.13*10^7</f>
        <v>11299999.999999998</v>
      </c>
    </row>
    <row r="6" spans="1:4" x14ac:dyDescent="0.25">
      <c r="A6" s="5" t="s">
        <v>5</v>
      </c>
      <c r="B6" s="5" t="s">
        <v>9</v>
      </c>
      <c r="C6" s="6">
        <f>4.13*10^7</f>
        <v>41300000</v>
      </c>
      <c r="D6" s="9">
        <f>7.02*10^6</f>
        <v>7020000</v>
      </c>
    </row>
    <row r="7" spans="1:4" x14ac:dyDescent="0.25">
      <c r="A7" s="5" t="s">
        <v>5</v>
      </c>
      <c r="B7" s="5" t="s">
        <v>10</v>
      </c>
      <c r="C7" s="6">
        <f>5.35*10^7</f>
        <v>53500000</v>
      </c>
      <c r="D7" s="9">
        <f>6.31*10^6</f>
        <v>6310000</v>
      </c>
    </row>
    <row r="8" spans="1:4" ht="15.75" thickBot="1" x14ac:dyDescent="0.3">
      <c r="A8" s="5" t="s">
        <v>5</v>
      </c>
      <c r="B8" s="10" t="s">
        <v>11</v>
      </c>
      <c r="C8" s="11">
        <f>2.72*10^7</f>
        <v>27200000.000000004</v>
      </c>
      <c r="D8" s="12">
        <f>6.31*10^6</f>
        <v>6310000</v>
      </c>
    </row>
    <row r="9" spans="1:4" x14ac:dyDescent="0.25">
      <c r="A9" s="5" t="s">
        <v>12</v>
      </c>
      <c r="B9" s="5" t="s">
        <v>6</v>
      </c>
      <c r="C9" s="6">
        <f>4.72*10^6</f>
        <v>4720000</v>
      </c>
      <c r="D9" s="8">
        <f>3.32*10^5</f>
        <v>332000</v>
      </c>
    </row>
    <row r="10" spans="1:4" x14ac:dyDescent="0.25">
      <c r="A10" s="5" t="s">
        <v>12</v>
      </c>
      <c r="B10" s="5" t="s">
        <v>7</v>
      </c>
      <c r="C10" s="6">
        <f>2.3*10^6</f>
        <v>2300000</v>
      </c>
      <c r="D10" s="6">
        <f>2.22*10^5</f>
        <v>222000.00000000003</v>
      </c>
    </row>
    <row r="11" spans="1:4" x14ac:dyDescent="0.25">
      <c r="A11" s="5" t="s">
        <v>12</v>
      </c>
      <c r="B11" s="5" t="s">
        <v>8</v>
      </c>
      <c r="C11" s="6">
        <f>1.45*10^6</f>
        <v>1450000</v>
      </c>
      <c r="D11" s="6">
        <f>1.85*10^5</f>
        <v>185000</v>
      </c>
    </row>
    <row r="12" spans="1:4" x14ac:dyDescent="0.25">
      <c r="A12" s="5" t="s">
        <v>12</v>
      </c>
      <c r="B12" s="5" t="s">
        <v>9</v>
      </c>
      <c r="C12" s="6">
        <f>5.93*10^5</f>
        <v>593000</v>
      </c>
      <c r="D12" s="6">
        <f>3.69*10^5</f>
        <v>369000</v>
      </c>
    </row>
    <row r="13" spans="1:4" x14ac:dyDescent="0.25">
      <c r="A13" s="5" t="s">
        <v>12</v>
      </c>
      <c r="B13" s="5" t="s">
        <v>10</v>
      </c>
      <c r="C13" s="6">
        <f>6.01*10^5</f>
        <v>601000</v>
      </c>
      <c r="D13" s="6">
        <f>1.85*10^5</f>
        <v>185000</v>
      </c>
    </row>
    <row r="14" spans="1:4" ht="15.75" thickBot="1" x14ac:dyDescent="0.3">
      <c r="A14" s="5" t="s">
        <v>12</v>
      </c>
      <c r="B14" s="10" t="s">
        <v>11</v>
      </c>
      <c r="C14" s="11">
        <f>1.49*10^6</f>
        <v>1490000</v>
      </c>
      <c r="D14" s="11">
        <f>6.7*10^5</f>
        <v>670000</v>
      </c>
    </row>
    <row r="15" spans="1:4" x14ac:dyDescent="0.25">
      <c r="A15" s="5" t="s">
        <v>13</v>
      </c>
      <c r="B15" s="5" t="s">
        <v>6</v>
      </c>
      <c r="C15" s="9">
        <f>1.36*10^6</f>
        <v>1360000</v>
      </c>
      <c r="D15" s="7">
        <f>2.4*10^(5)</f>
        <v>240000</v>
      </c>
    </row>
    <row r="16" spans="1:4" x14ac:dyDescent="0.25">
      <c r="A16" s="5" t="s">
        <v>13</v>
      </c>
      <c r="B16" s="5" t="s">
        <v>7</v>
      </c>
      <c r="C16" s="9">
        <f>2*10^6</f>
        <v>2000000</v>
      </c>
      <c r="D16" s="9">
        <f>6.94*10^4</f>
        <v>69400</v>
      </c>
    </row>
    <row r="17" spans="1:4" x14ac:dyDescent="0.25">
      <c r="A17" s="5" t="s">
        <v>13</v>
      </c>
      <c r="B17" s="5" t="s">
        <v>8</v>
      </c>
      <c r="C17" s="9">
        <f>1.19*10^7</f>
        <v>11900000</v>
      </c>
      <c r="D17" s="9">
        <f>2.05*10^6</f>
        <v>2049999.9999999998</v>
      </c>
    </row>
    <row r="18" spans="1:4" x14ac:dyDescent="0.25">
      <c r="A18" s="5" t="s">
        <v>13</v>
      </c>
      <c r="B18" s="5" t="s">
        <v>9</v>
      </c>
      <c r="C18" s="9">
        <f>2.17*10^7</f>
        <v>21700000</v>
      </c>
      <c r="D18" s="9">
        <f>4.55*10^4</f>
        <v>45500</v>
      </c>
    </row>
    <row r="19" spans="1:4" x14ac:dyDescent="0.25">
      <c r="A19" s="5" t="s">
        <v>13</v>
      </c>
      <c r="B19" s="5" t="s">
        <v>10</v>
      </c>
      <c r="C19" s="9">
        <f>6.88*10^7</f>
        <v>68800000</v>
      </c>
      <c r="D19" s="9">
        <f>5.93*10^5</f>
        <v>593000</v>
      </c>
    </row>
    <row r="20" spans="1:4" ht="15.75" thickBot="1" x14ac:dyDescent="0.3">
      <c r="A20" s="5" t="s">
        <v>13</v>
      </c>
      <c r="B20" s="13" t="s">
        <v>11</v>
      </c>
      <c r="C20" s="14">
        <f>1.1*10^8</f>
        <v>110000000.00000001</v>
      </c>
      <c r="D20" s="14">
        <f>3.21*10^6</f>
        <v>3210000</v>
      </c>
    </row>
    <row r="21" spans="1: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margherita finazzi</dc:creator>
  <cp:lastModifiedBy>m.turati14@campus.unimib.it</cp:lastModifiedBy>
  <dcterms:created xsi:type="dcterms:W3CDTF">2015-06-05T18:17:20Z</dcterms:created>
  <dcterms:modified xsi:type="dcterms:W3CDTF">2026-09-07T20:04:42Z</dcterms:modified>
</cp:coreProperties>
</file>