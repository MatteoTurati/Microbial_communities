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nalisi Dati LOTKA Volterra\Dati\Misure_comunita_microbiche\"/>
    </mc:Choice>
  </mc:AlternateContent>
  <xr:revisionPtr revIDLastSave="0" documentId="13_ncr:1_{B9EF1079-38D8-4290-AB0B-CB5C6D9D27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3" i="1"/>
  <c r="C33" i="1"/>
  <c r="D32" i="1"/>
  <c r="C32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<sst xmlns="http://schemas.openxmlformats.org/spreadsheetml/2006/main" count="89" uniqueCount="18">
  <si>
    <t>Table S5_rev</t>
  </si>
  <si>
    <t>Species</t>
  </si>
  <si>
    <t>Time</t>
  </si>
  <si>
    <t>Mean bacterial counts (cells mL−1)</t>
  </si>
  <si>
    <t>SE</t>
  </si>
  <si>
    <t>LP</t>
  </si>
  <si>
    <t>0 h</t>
  </si>
  <si>
    <t>8 h</t>
  </si>
  <si>
    <t>16 h</t>
  </si>
  <si>
    <t>24 h</t>
  </si>
  <si>
    <t>32 h</t>
  </si>
  <si>
    <t>48 h</t>
  </si>
  <si>
    <t>LA</t>
  </si>
  <si>
    <t>BL</t>
  </si>
  <si>
    <t>CO</t>
  </si>
  <si>
    <t>CS</t>
  </si>
  <si>
    <t>BC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</si>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</sst>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b/>
      <sz val="10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11" fontId="3" fillId="0" borderId="2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/>
    </xf>
    <xf numFmtId="11" fontId="4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C12" sqref="C12"/>
    </sheetView>
  </sheetViews>
  <sheetFormatPr defaultRowHeight="15" x14ac:dyDescent="0.25"/>
  <cols>
    <col min="1" max="1" width="11.42578125" bestFit="1" customWidth="1"/>
    <col min="3" max="3" width="29" customWidth="1"/>
    <col min="4" max="4" width="26" customWidth="1"/>
  </cols>
  <sheetData>
    <row r="1" spans="1:4" ht="15.75" thickBot="1" x14ac:dyDescent="0.3">
      <c r="A1" s="1" t="s">
        <v>0</v>
      </c>
    </row>
    <row r="2" spans="1:4" ht="26.25" thickBot="1" x14ac:dyDescent="0.3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 t="s">
        <v>6</v>
      </c>
      <c r="C3" s="5">
        <f>1.33*10^6</f>
        <v>1330000</v>
      </c>
      <c r="D3" s="6">
        <f>6.35*10^4</f>
        <v>63500</v>
      </c>
    </row>
    <row r="4" spans="1:4" x14ac:dyDescent="0.25">
      <c r="A4" s="4" t="s">
        <v>5</v>
      </c>
      <c r="B4" s="4" t="s">
        <v>7</v>
      </c>
      <c r="C4" s="5">
        <f>4.52*10^7</f>
        <v>45199999.999999993</v>
      </c>
      <c r="D4" s="6">
        <f>4.34*10^6</f>
        <v>4340000</v>
      </c>
    </row>
    <row r="5" spans="1:4" x14ac:dyDescent="0.25">
      <c r="A5" s="4" t="s">
        <v>5</v>
      </c>
      <c r="B5" s="4" t="s">
        <v>8</v>
      </c>
      <c r="C5" s="5">
        <f>1.09*10^8</f>
        <v>109000000.00000001</v>
      </c>
      <c r="D5" s="6">
        <f>6.77*10^6</f>
        <v>6770000</v>
      </c>
    </row>
    <row r="6" spans="1:4" x14ac:dyDescent="0.25">
      <c r="A6" s="4" t="s">
        <v>5</v>
      </c>
      <c r="B6" s="4" t="s">
        <v>9</v>
      </c>
      <c r="C6" s="5">
        <f>2.31*10^8</f>
        <v>231000000</v>
      </c>
      <c r="D6" s="6">
        <f>2.56*10^7</f>
        <v>25600000</v>
      </c>
    </row>
    <row r="7" spans="1:4" x14ac:dyDescent="0.25">
      <c r="A7" s="4" t="s">
        <v>5</v>
      </c>
      <c r="B7" s="4" t="s">
        <v>10</v>
      </c>
      <c r="C7" s="5">
        <f>3.79*10^8</f>
        <v>379000000</v>
      </c>
      <c r="D7" s="6">
        <f>6.75*10^7</f>
        <v>67500000</v>
      </c>
    </row>
    <row r="8" spans="1:4" ht="15.75" thickBot="1" x14ac:dyDescent="0.3">
      <c r="A8" s="4" t="s">
        <v>5</v>
      </c>
      <c r="B8" s="7" t="s">
        <v>11</v>
      </c>
      <c r="C8" s="8">
        <f>9.08*10^8</f>
        <v>908000000</v>
      </c>
      <c r="D8" s="9">
        <f>1.48*10^8</f>
        <v>148000000</v>
      </c>
    </row>
    <row r="9" spans="1:4" x14ac:dyDescent="0.25">
      <c r="A9" s="4" t="s">
        <v>12</v>
      </c>
      <c r="B9" s="4" t="s">
        <v>6</v>
      </c>
      <c r="C9" s="5">
        <f>4.72*10^6</f>
        <v>4720000</v>
      </c>
      <c r="D9" s="5">
        <f>3.32*10^5</f>
        <v>332000</v>
      </c>
    </row>
    <row r="10" spans="1:4" x14ac:dyDescent="0.25">
      <c r="A10" s="4" t="s">
        <v>12</v>
      </c>
      <c r="B10" s="4" t="s">
        <v>7</v>
      </c>
      <c r="C10" s="5">
        <f>2.89*10^6</f>
        <v>2890000</v>
      </c>
      <c r="D10" s="5">
        <f>1.84*10^6</f>
        <v>1840000</v>
      </c>
    </row>
    <row r="11" spans="1:4" x14ac:dyDescent="0.25">
      <c r="A11" s="4" t="s">
        <v>12</v>
      </c>
      <c r="B11" s="4" t="s">
        <v>8</v>
      </c>
      <c r="C11" s="5">
        <f>4.77*10^6</f>
        <v>4770000</v>
      </c>
      <c r="D11" s="5">
        <f>2.97*10^6</f>
        <v>2970000</v>
      </c>
    </row>
    <row r="12" spans="1:4" x14ac:dyDescent="0.25">
      <c r="A12" s="4" t="s">
        <v>12</v>
      </c>
      <c r="B12" s="4" t="s">
        <v>9</v>
      </c>
      <c r="C12" s="5">
        <f>3.82*10^5</f>
        <v>382000</v>
      </c>
      <c r="D12" s="5">
        <f>2.75*10^4</f>
        <v>27500</v>
      </c>
    </row>
    <row r="13" spans="1:4" x14ac:dyDescent="0.25">
      <c r="A13" s="4" t="s">
        <v>12</v>
      </c>
      <c r="B13" s="4" t="s">
        <v>10</v>
      </c>
      <c r="C13" s="10">
        <f>2.43*10^(6)</f>
        <v>2430000</v>
      </c>
      <c r="D13" s="10">
        <f>6.5*10^(5)</f>
        <v>650000</v>
      </c>
    </row>
    <row r="14" spans="1:4" ht="15.75" thickBot="1" x14ac:dyDescent="0.3">
      <c r="A14" s="4" t="s">
        <v>12</v>
      </c>
      <c r="B14" s="7" t="s">
        <v>11</v>
      </c>
      <c r="C14" s="11">
        <f>9.76*10^(5)</f>
        <v>976000</v>
      </c>
      <c r="D14" s="11">
        <f>1.4*10^(5)</f>
        <v>140000</v>
      </c>
    </row>
    <row r="15" spans="1:4" x14ac:dyDescent="0.25">
      <c r="A15" s="4" t="s">
        <v>13</v>
      </c>
      <c r="B15" s="4" t="s">
        <v>6</v>
      </c>
      <c r="C15" s="6">
        <f>1.36*10^6</f>
        <v>1360000</v>
      </c>
      <c r="D15" s="6">
        <f>2.4*10^5</f>
        <v>240000</v>
      </c>
    </row>
    <row r="16" spans="1:4" x14ac:dyDescent="0.25">
      <c r="A16" s="4" t="s">
        <v>13</v>
      </c>
      <c r="B16" s="4" t="s">
        <v>7</v>
      </c>
      <c r="C16" s="6">
        <f>2.34*10^6</f>
        <v>2340000</v>
      </c>
      <c r="D16" s="6">
        <f>4.67*10^5</f>
        <v>467000</v>
      </c>
    </row>
    <row r="17" spans="1:4" x14ac:dyDescent="0.25">
      <c r="A17" s="4" t="s">
        <v>13</v>
      </c>
      <c r="B17" s="4" t="s">
        <v>8</v>
      </c>
      <c r="C17" s="6">
        <f>6.3*10^8</f>
        <v>630000000</v>
      </c>
      <c r="D17" s="6">
        <f>3.6*10^5</f>
        <v>360000</v>
      </c>
    </row>
    <row r="18" spans="1:4" x14ac:dyDescent="0.25">
      <c r="A18" s="4" t="s">
        <v>13</v>
      </c>
      <c r="B18" s="4" t="s">
        <v>9</v>
      </c>
      <c r="C18" s="6">
        <f>2.61*10^8</f>
        <v>261000000</v>
      </c>
      <c r="D18" s="6">
        <f>2.54*10^7</f>
        <v>25400000</v>
      </c>
    </row>
    <row r="19" spans="1:4" x14ac:dyDescent="0.25">
      <c r="A19" s="4" t="s">
        <v>13</v>
      </c>
      <c r="B19" s="4" t="s">
        <v>10</v>
      </c>
      <c r="C19" s="6">
        <f>4.35*10^8</f>
        <v>434999999.99999994</v>
      </c>
      <c r="D19" s="6">
        <f>7.82*10^7</f>
        <v>78200000</v>
      </c>
    </row>
    <row r="20" spans="1:4" ht="15.75" thickBot="1" x14ac:dyDescent="0.3">
      <c r="A20" s="4" t="s">
        <v>13</v>
      </c>
      <c r="B20" s="7" t="s">
        <v>11</v>
      </c>
      <c r="C20" s="9">
        <f>5.27*10^8</f>
        <v>526999999.99999994</v>
      </c>
      <c r="D20" s="9">
        <f>8.41*10^7</f>
        <v>84100000</v>
      </c>
    </row>
    <row r="21" spans="1:4" x14ac:dyDescent="0.25">
      <c r="A21" s="4" t="s">
        <v>14</v>
      </c>
      <c r="B21" s="12" t="s">
        <v>6</v>
      </c>
      <c r="C21" s="5">
        <f>4.49*10^6</f>
        <v>4490000</v>
      </c>
      <c r="D21" s="5">
        <f>9.26*10^4</f>
        <v>92600</v>
      </c>
    </row>
    <row r="22" spans="1:4" x14ac:dyDescent="0.25">
      <c r="A22" s="4" t="s">
        <v>14</v>
      </c>
      <c r="B22" s="12" t="s">
        <v>7</v>
      </c>
      <c r="C22" s="5">
        <f>7.5*10^5</f>
        <v>750000</v>
      </c>
      <c r="D22" s="5">
        <f>2.83*10^2</f>
        <v>283</v>
      </c>
    </row>
    <row r="23" spans="1:4" x14ac:dyDescent="0.25">
      <c r="A23" s="4" t="s">
        <v>14</v>
      </c>
      <c r="B23" s="12" t="s">
        <v>8</v>
      </c>
      <c r="C23" s="5">
        <f>5.22*10^5</f>
        <v>522000</v>
      </c>
      <c r="D23" s="5">
        <f>4.49*10^4</f>
        <v>44900</v>
      </c>
    </row>
    <row r="24" spans="1:4" x14ac:dyDescent="0.25">
      <c r="A24" s="4" t="s">
        <v>14</v>
      </c>
      <c r="B24" s="12" t="s">
        <v>9</v>
      </c>
      <c r="C24" s="5">
        <f>7.3*10^5</f>
        <v>730000</v>
      </c>
      <c r="D24" s="5">
        <f>2.74*10^2</f>
        <v>274</v>
      </c>
    </row>
    <row r="25" spans="1:4" x14ac:dyDescent="0.25">
      <c r="A25" s="4" t="s">
        <v>14</v>
      </c>
      <c r="B25" s="12" t="s">
        <v>10</v>
      </c>
      <c r="C25" s="5">
        <f>1.85*10^6</f>
        <v>1850000</v>
      </c>
      <c r="D25" s="5">
        <f>8.22*10^5</f>
        <v>822000.00000000012</v>
      </c>
    </row>
    <row r="26" spans="1:4" ht="15.75" thickBot="1" x14ac:dyDescent="0.3">
      <c r="A26" s="4" t="s">
        <v>14</v>
      </c>
      <c r="B26" s="13" t="s">
        <v>11</v>
      </c>
      <c r="C26" s="8">
        <f>2.31*10^6</f>
        <v>2310000</v>
      </c>
      <c r="D26" s="8">
        <f>2.48*10^2</f>
        <v>248</v>
      </c>
    </row>
    <row r="27" spans="1:4" x14ac:dyDescent="0.25">
      <c r="A27" s="4" t="s">
        <v>15</v>
      </c>
      <c r="B27" s="12" t="s">
        <v>6</v>
      </c>
      <c r="C27" s="5">
        <f>7.48*10^6</f>
        <v>7480000</v>
      </c>
      <c r="D27" s="5">
        <f>9.26*10^4</f>
        <v>92600</v>
      </c>
    </row>
    <row r="28" spans="1:4" x14ac:dyDescent="0.25">
      <c r="A28" s="4" t="s">
        <v>15</v>
      </c>
      <c r="B28" s="12" t="s">
        <v>7</v>
      </c>
      <c r="C28" s="10">
        <v>143000</v>
      </c>
      <c r="D28" s="10">
        <v>1150</v>
      </c>
    </row>
    <row r="29" spans="1:4" x14ac:dyDescent="0.25">
      <c r="A29" s="4" t="s">
        <v>15</v>
      </c>
      <c r="B29" s="12" t="s">
        <v>8</v>
      </c>
      <c r="C29" s="10">
        <v>260500</v>
      </c>
      <c r="D29" s="10">
        <v>91075</v>
      </c>
    </row>
    <row r="30" spans="1:4" x14ac:dyDescent="0.25">
      <c r="A30" s="4" t="s">
        <v>15</v>
      </c>
      <c r="B30" s="12" t="s">
        <v>9</v>
      </c>
      <c r="C30" s="10">
        <v>378000</v>
      </c>
      <c r="D30" s="10">
        <v>181000</v>
      </c>
    </row>
    <row r="31" spans="1:4" x14ac:dyDescent="0.25">
      <c r="A31" s="4" t="s">
        <v>15</v>
      </c>
      <c r="B31" s="12" t="s">
        <v>10</v>
      </c>
      <c r="C31" s="10">
        <v>1230000</v>
      </c>
      <c r="D31" s="10">
        <v>1100000</v>
      </c>
    </row>
    <row r="32" spans="1:4" ht="15.75" thickBot="1" x14ac:dyDescent="0.3">
      <c r="A32" s="4" t="s">
        <v>15</v>
      </c>
      <c r="B32" s="13" t="s">
        <v>11</v>
      </c>
      <c r="C32" s="8">
        <f>5.31*10^6</f>
        <v>5310000</v>
      </c>
      <c r="D32" s="8">
        <f>1.76*10^6</f>
        <v>1760000</v>
      </c>
    </row>
    <row r="33" spans="1:4" x14ac:dyDescent="0.25">
      <c r="A33" s="4" t="s">
        <v>16</v>
      </c>
      <c r="B33" s="12" t="s">
        <v>6</v>
      </c>
      <c r="C33" s="5">
        <f>8.08*10^6</f>
        <v>8080000</v>
      </c>
      <c r="D33" s="5">
        <f>7.99*10^5</f>
        <v>799000</v>
      </c>
    </row>
    <row r="34" spans="1:4" x14ac:dyDescent="0.25">
      <c r="A34" s="4" t="s">
        <v>16</v>
      </c>
      <c r="B34" s="12" t="s">
        <v>7</v>
      </c>
      <c r="C34" s="10">
        <v>6280000</v>
      </c>
      <c r="D34" s="10">
        <v>3230</v>
      </c>
    </row>
    <row r="35" spans="1:4" x14ac:dyDescent="0.25">
      <c r="A35" s="4" t="s">
        <v>16</v>
      </c>
      <c r="B35" s="12" t="s">
        <v>8</v>
      </c>
      <c r="C35" s="10">
        <v>5060000</v>
      </c>
      <c r="D35" s="10">
        <v>506615</v>
      </c>
    </row>
    <row r="36" spans="1:4" x14ac:dyDescent="0.25">
      <c r="A36" s="4" t="s">
        <v>16</v>
      </c>
      <c r="B36" s="12" t="s">
        <v>9</v>
      </c>
      <c r="C36" s="10">
        <v>3840000</v>
      </c>
      <c r="D36" s="10">
        <v>1010000</v>
      </c>
    </row>
    <row r="37" spans="1:4" x14ac:dyDescent="0.25">
      <c r="A37" s="4" t="s">
        <v>16</v>
      </c>
      <c r="B37" s="12" t="s">
        <v>10</v>
      </c>
      <c r="C37" s="5">
        <f>1.58*10^7</f>
        <v>15800000</v>
      </c>
      <c r="D37" s="5">
        <f>8.12*10^6</f>
        <v>8119999.9999999991</v>
      </c>
    </row>
    <row r="38" spans="1:4" ht="15.75" thickBot="1" x14ac:dyDescent="0.3">
      <c r="A38" s="4" t="s">
        <v>16</v>
      </c>
      <c r="B38" s="13" t="s">
        <v>11</v>
      </c>
      <c r="C38" s="8">
        <f>6.91*10^6</f>
        <v>6910000</v>
      </c>
      <c r="D38" s="8">
        <f>6.67*10^6</f>
        <v>6670000</v>
      </c>
    </row>
    <row r="39" spans="1:4" x14ac:dyDescent="0.25">
      <c r="A39" s="4" t="s">
        <v>17</v>
      </c>
      <c r="B39" s="12" t="s">
        <v>6</v>
      </c>
      <c r="C39" s="5">
        <f>2.32*10^7</f>
        <v>23200000</v>
      </c>
      <c r="D39" s="5">
        <f>1.77*10^5</f>
        <v>177000</v>
      </c>
    </row>
    <row r="40" spans="1:4" x14ac:dyDescent="0.25">
      <c r="A40" s="4" t="s">
        <v>17</v>
      </c>
      <c r="B40" s="12" t="s">
        <v>7</v>
      </c>
      <c r="C40" s="5">
        <f>5.94*10^8</f>
        <v>594000000</v>
      </c>
      <c r="D40" s="5">
        <f>7.56*10^6</f>
        <v>7560000</v>
      </c>
    </row>
    <row r="41" spans="1:4" x14ac:dyDescent="0.25">
      <c r="A41" s="4" t="s">
        <v>17</v>
      </c>
      <c r="B41" s="12" t="s">
        <v>8</v>
      </c>
      <c r="C41" s="5">
        <f>4.73*10^8</f>
        <v>473000000.00000006</v>
      </c>
      <c r="D41" s="5">
        <f>2.14*10^7</f>
        <v>21400000</v>
      </c>
    </row>
    <row r="42" spans="1:4" x14ac:dyDescent="0.25">
      <c r="A42" s="4" t="s">
        <v>17</v>
      </c>
      <c r="B42" s="12" t="s">
        <v>9</v>
      </c>
      <c r="C42" s="5">
        <f>5.39*10^8</f>
        <v>539000000</v>
      </c>
      <c r="D42" s="5">
        <f>7.49*10^7</f>
        <v>74900000</v>
      </c>
    </row>
    <row r="43" spans="1:4" x14ac:dyDescent="0.25">
      <c r="A43" s="4" t="s">
        <v>17</v>
      </c>
      <c r="B43" s="12" t="s">
        <v>10</v>
      </c>
      <c r="C43" s="5">
        <f>5.44*10^8</f>
        <v>544000000</v>
      </c>
      <c r="D43" s="5">
        <f>1.69*10^7</f>
        <v>16900000</v>
      </c>
    </row>
    <row r="44" spans="1:4" ht="15.75" thickBot="1" x14ac:dyDescent="0.3">
      <c r="A44" s="4" t="s">
        <v>17</v>
      </c>
      <c r="B44" s="13" t="s">
        <v>11</v>
      </c>
      <c r="C44" s="8">
        <f>3.92*10^8</f>
        <v>392000000</v>
      </c>
      <c r="D44" s="8">
        <f>1.29*10^7</f>
        <v>12900000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margherita finazzi</dc:creator>
  <cp:lastModifiedBy>m.turati14@campus.unimib.it</cp:lastModifiedBy>
  <dcterms:created xsi:type="dcterms:W3CDTF">2015-06-05T18:17:20Z</dcterms:created>
  <dcterms:modified xsi:type="dcterms:W3CDTF">2026-09-07T22:38:44Z</dcterms:modified>
</cp:coreProperties>
</file>