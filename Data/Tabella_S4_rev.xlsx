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nalisi Dati LOTKA Volterra\Dati\Misure_comunita_microbiche\"/>
    </mc:Choice>
  </mc:AlternateContent>
  <xr:revisionPtr revIDLastSave="0" documentId="13_ncr:1_{9EEDF8D9-4D9A-4E4B-A07A-D0127E78D5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<sst xmlns="http://schemas.openxmlformats.org/spreadsheetml/2006/main" count="53" uniqueCount="15">
  <si>
    <t>Table S4_rev</t>
  </si>
  <si>
    <t>Species</t>
  </si>
  <si>
    <t>Time</t>
  </si>
  <si>
    <t>Mean bacterial counts (cells mL−1)</t>
  </si>
  <si>
    <t>SE</t>
  </si>
  <si>
    <t>CO</t>
  </si>
  <si>
    <t>0 h</t>
  </si>
  <si>
    <t>8 h</t>
  </si>
  <si>
    <t>16 h</t>
  </si>
  <si>
    <t>24 h</t>
  </si>
  <si>
    <t>32 h</t>
  </si>
  <si>
    <t>48 h</t>
  </si>
  <si>
    <t>CS</t>
  </si>
  <si>
    <t>BC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</si>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</sst>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b/>
      <sz val="10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1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11" fontId="3" fillId="0" borderId="3" xfId="0" applyNumberFormat="1" applyFont="1" applyBorder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1" fontId="4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1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3" workbookViewId="0">
      <selection activeCell="A21" sqref="A21:A26"/>
    </sheetView>
  </sheetViews>
  <sheetFormatPr defaultRowHeight="15" x14ac:dyDescent="0.25"/>
  <cols>
    <col min="1" max="1" width="11.42578125" bestFit="1" customWidth="1"/>
    <col min="2" max="2" width="5.7109375" bestFit="1" customWidth="1"/>
    <col min="3" max="3" width="22.7109375" customWidth="1"/>
    <col min="4" max="4" width="10.28515625" bestFit="1" customWidth="1"/>
  </cols>
  <sheetData>
    <row r="1" spans="1:4" ht="15.75" thickBot="1" x14ac:dyDescent="0.3">
      <c r="A1" s="1" t="s">
        <v>0</v>
      </c>
    </row>
    <row r="2" spans="1:4" ht="27" thickTop="1" thickBot="1" x14ac:dyDescent="0.3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5" t="s">
        <v>6</v>
      </c>
      <c r="C3" s="6">
        <f>4.49*10^6</f>
        <v>4490000</v>
      </c>
      <c r="D3" s="6">
        <f>9.26*10^4</f>
        <v>92600</v>
      </c>
    </row>
    <row r="4" spans="1:4" x14ac:dyDescent="0.25">
      <c r="A4" s="4" t="s">
        <v>5</v>
      </c>
      <c r="B4" s="4" t="s">
        <v>7</v>
      </c>
      <c r="C4" s="6">
        <f>2.82*10^6</f>
        <v>2820000</v>
      </c>
      <c r="D4" s="6">
        <f>9.23*10^4</f>
        <v>92300</v>
      </c>
    </row>
    <row r="5" spans="1:4" x14ac:dyDescent="0.25">
      <c r="A5" s="4" t="s">
        <v>5</v>
      </c>
      <c r="B5" s="4" t="s">
        <v>8</v>
      </c>
      <c r="C5" s="6">
        <f>5.2*10^6</f>
        <v>5200000</v>
      </c>
      <c r="D5" s="6">
        <f>4.49*10^4</f>
        <v>44900</v>
      </c>
    </row>
    <row r="6" spans="1:4" x14ac:dyDescent="0.25">
      <c r="A6" s="4" t="s">
        <v>5</v>
      </c>
      <c r="B6" s="4" t="s">
        <v>9</v>
      </c>
      <c r="C6" s="6">
        <f>5*10^6</f>
        <v>5000000</v>
      </c>
      <c r="D6" s="6">
        <f>2.12*10^4</f>
        <v>21200</v>
      </c>
    </row>
    <row r="7" spans="1:4" x14ac:dyDescent="0.25">
      <c r="A7" s="4" t="s">
        <v>5</v>
      </c>
      <c r="B7" s="4" t="s">
        <v>10</v>
      </c>
      <c r="C7" s="6">
        <f>1.17*10^6</f>
        <v>1170000</v>
      </c>
      <c r="D7" s="6">
        <f>1.44*10^6</f>
        <v>1440000</v>
      </c>
    </row>
    <row r="8" spans="1:4" ht="15.75" thickBot="1" x14ac:dyDescent="0.3">
      <c r="A8" s="4" t="s">
        <v>5</v>
      </c>
      <c r="B8" s="7" t="s">
        <v>11</v>
      </c>
      <c r="C8" s="8">
        <f>3.31*10^6</f>
        <v>3310000</v>
      </c>
      <c r="D8" s="8">
        <f>9.21*10^3</f>
        <v>9210</v>
      </c>
    </row>
    <row r="9" spans="1:4" x14ac:dyDescent="0.25">
      <c r="A9" s="4" t="s">
        <v>12</v>
      </c>
      <c r="B9" s="5" t="s">
        <v>6</v>
      </c>
      <c r="C9" s="6">
        <f>7.48*10^6</f>
        <v>7480000</v>
      </c>
      <c r="D9" s="6">
        <f>9.26*10^4</f>
        <v>92600</v>
      </c>
    </row>
    <row r="10" spans="1:4" x14ac:dyDescent="0.25">
      <c r="A10" s="4" t="s">
        <v>12</v>
      </c>
      <c r="B10" s="4" t="s">
        <v>7</v>
      </c>
      <c r="C10" s="6">
        <f>2.82*10^6</f>
        <v>2820000</v>
      </c>
      <c r="D10" s="6">
        <f>2.75*10^6</f>
        <v>2750000</v>
      </c>
    </row>
    <row r="11" spans="1:4" x14ac:dyDescent="0.25">
      <c r="A11" s="4" t="s">
        <v>12</v>
      </c>
      <c r="B11" s="4" t="s">
        <v>8</v>
      </c>
      <c r="C11" s="6">
        <f>1.79*10^6</f>
        <v>1790000</v>
      </c>
      <c r="D11" s="9">
        <f>AVERAGE(D10,D12)</f>
        <v>1475000</v>
      </c>
    </row>
    <row r="12" spans="1:4" x14ac:dyDescent="0.25">
      <c r="A12" s="4" t="s">
        <v>12</v>
      </c>
      <c r="B12" s="4" t="s">
        <v>9</v>
      </c>
      <c r="C12" s="6">
        <f>7.22*10^6</f>
        <v>7220000</v>
      </c>
      <c r="D12" s="6">
        <f>2*10^5</f>
        <v>200000</v>
      </c>
    </row>
    <row r="13" spans="1:4" x14ac:dyDescent="0.25">
      <c r="A13" s="4" t="s">
        <v>12</v>
      </c>
      <c r="B13" s="4" t="s">
        <v>10</v>
      </c>
      <c r="C13" s="9">
        <f>1.07*10^(6)</f>
        <v>1070000</v>
      </c>
      <c r="D13" s="9">
        <f>6.5*10^(5)</f>
        <v>650000</v>
      </c>
    </row>
    <row r="14" spans="1:4" ht="15.75" thickBot="1" x14ac:dyDescent="0.3">
      <c r="A14" s="4" t="s">
        <v>12</v>
      </c>
      <c r="B14" s="7" t="s">
        <v>11</v>
      </c>
      <c r="C14" s="10">
        <f>1.33*10^(5)</f>
        <v>133000</v>
      </c>
      <c r="D14" s="10">
        <f>4.04*10^(4)</f>
        <v>40400</v>
      </c>
    </row>
    <row r="15" spans="1:4" x14ac:dyDescent="0.25">
      <c r="A15" s="4" t="s">
        <v>13</v>
      </c>
      <c r="B15" s="5" t="s">
        <v>6</v>
      </c>
      <c r="C15" s="6">
        <f>8.08*10^6</f>
        <v>8080000</v>
      </c>
      <c r="D15" s="6">
        <f>1.12*10^6</f>
        <v>1120000</v>
      </c>
    </row>
    <row r="16" spans="1:4" x14ac:dyDescent="0.25">
      <c r="A16" s="4" t="s">
        <v>13</v>
      </c>
      <c r="B16" s="4" t="s">
        <v>7</v>
      </c>
      <c r="C16" s="6">
        <f>3.08*10^7</f>
        <v>30800000</v>
      </c>
      <c r="D16" s="6">
        <f>1.82*10^3</f>
        <v>1820</v>
      </c>
    </row>
    <row r="17" spans="1:4" x14ac:dyDescent="0.25">
      <c r="A17" s="4" t="s">
        <v>13</v>
      </c>
      <c r="B17" s="4" t="s">
        <v>8</v>
      </c>
      <c r="C17" s="9">
        <v>22900000</v>
      </c>
      <c r="D17" s="9">
        <v>2230910</v>
      </c>
    </row>
    <row r="18" spans="1:4" x14ac:dyDescent="0.25">
      <c r="A18" s="4" t="s">
        <v>13</v>
      </c>
      <c r="B18" s="4" t="s">
        <v>9</v>
      </c>
      <c r="C18" s="9">
        <f>1.5*10^(7)</f>
        <v>15000000</v>
      </c>
      <c r="D18" s="9">
        <f>4.46*10^(6)</f>
        <v>4460000</v>
      </c>
    </row>
    <row r="19" spans="1:4" x14ac:dyDescent="0.25">
      <c r="A19" s="4" t="s">
        <v>13</v>
      </c>
      <c r="B19" s="4" t="s">
        <v>10</v>
      </c>
      <c r="C19" s="6">
        <f>2.04*10^7</f>
        <v>20400000</v>
      </c>
      <c r="D19" s="6">
        <f>1.38*10^7</f>
        <v>13799999.999999998</v>
      </c>
    </row>
    <row r="20" spans="1:4" ht="15.75" thickBot="1" x14ac:dyDescent="0.3">
      <c r="A20" s="4" t="s">
        <v>13</v>
      </c>
      <c r="B20" s="7" t="s">
        <v>11</v>
      </c>
      <c r="C20" s="8">
        <f>3.46*10^7</f>
        <v>34600000</v>
      </c>
      <c r="D20" s="8">
        <f>2.85*10^4</f>
        <v>28500</v>
      </c>
    </row>
    <row r="21" spans="1:4" x14ac:dyDescent="0.25">
      <c r="A21" s="4" t="s">
        <v>14</v>
      </c>
      <c r="B21" s="5" t="s">
        <v>6</v>
      </c>
      <c r="C21" s="6">
        <f>2.32*10^7</f>
        <v>23200000</v>
      </c>
      <c r="D21" s="6">
        <f>2.47*10^5</f>
        <v>247000.00000000003</v>
      </c>
    </row>
    <row r="22" spans="1:4" x14ac:dyDescent="0.25">
      <c r="A22" s="4" t="s">
        <v>14</v>
      </c>
      <c r="B22" s="4" t="s">
        <v>7</v>
      </c>
      <c r="C22" s="6">
        <f>4.19*10^9</f>
        <v>4190000000.0000005</v>
      </c>
      <c r="D22" s="6">
        <f>2.98*10^6</f>
        <v>2980000</v>
      </c>
    </row>
    <row r="23" spans="1:4" x14ac:dyDescent="0.25">
      <c r="A23" s="4" t="s">
        <v>14</v>
      </c>
      <c r="B23" s="4" t="s">
        <v>8</v>
      </c>
      <c r="C23" s="6">
        <f>3.97*10^8</f>
        <v>397000000</v>
      </c>
      <c r="D23" s="6">
        <f>1.98*10^7</f>
        <v>19800000</v>
      </c>
    </row>
    <row r="24" spans="1:4" x14ac:dyDescent="0.25">
      <c r="A24" s="4" t="s">
        <v>14</v>
      </c>
      <c r="B24" s="4" t="s">
        <v>9</v>
      </c>
      <c r="C24" s="6">
        <f>1.12*10^9</f>
        <v>1120000000</v>
      </c>
      <c r="D24" s="6">
        <f>2.8*10^5</f>
        <v>280000</v>
      </c>
    </row>
    <row r="25" spans="1:4" x14ac:dyDescent="0.25">
      <c r="A25" s="4" t="s">
        <v>14</v>
      </c>
      <c r="B25" s="4" t="s">
        <v>10</v>
      </c>
      <c r="C25" s="6">
        <f>4.12*10^8</f>
        <v>412000000</v>
      </c>
      <c r="D25" s="6">
        <f>5.11*10^6</f>
        <v>5110000</v>
      </c>
    </row>
    <row r="26" spans="1:4" ht="15.75" thickBot="1" x14ac:dyDescent="0.3">
      <c r="A26" s="4" t="s">
        <v>14</v>
      </c>
      <c r="B26" s="11" t="s">
        <v>11</v>
      </c>
      <c r="C26" s="12">
        <f>9.88*10^9</f>
        <v>9880000000</v>
      </c>
      <c r="D26" s="12">
        <f>3.03*10^5</f>
        <v>303000</v>
      </c>
    </row>
    <row r="27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margherita finazzi</dc:creator>
  <cp:lastModifiedBy>m.turati14@campus.unimib.it</cp:lastModifiedBy>
  <dcterms:created xsi:type="dcterms:W3CDTF">2015-06-05T18:17:20Z</dcterms:created>
  <dcterms:modified xsi:type="dcterms:W3CDTF">2026-09-07T20:05:20Z</dcterms:modified>
</cp:coreProperties>
</file>